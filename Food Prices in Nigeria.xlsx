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 Papers_nig\Paper 4_Food Price Rise\"/>
    </mc:Choice>
  </mc:AlternateContent>
  <xr:revisionPtr revIDLastSave="0" documentId="13_ncr:1_{FCB044FC-108A-4124-BC6E-48CE039E3E78}" xr6:coauthVersionLast="47" xr6:coauthVersionMax="47" xr10:uidLastSave="{00000000-0000-0000-0000-000000000000}"/>
  <bookViews>
    <workbookView xWindow="-110" yWindow="-110" windowWidth="25820" windowHeight="15500" xr2:uid="{0F1D35C0-390D-4E44-B579-BF4763D01A16}"/>
  </bookViews>
  <sheets>
    <sheet name="Selected Food Dec 2024" sheetId="1" r:id="rId1"/>
  </sheets>
  <definedNames>
    <definedName name="_xlnm._FilterDatabase" localSheetId="0" hidden="1">'Selected Food Dec 2024'!$A$1:$J$43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E13" i="1"/>
  <c r="F34" i="1"/>
  <c r="F14" i="1"/>
  <c r="F37" i="1"/>
  <c r="F43" i="1"/>
  <c r="F10" i="1"/>
  <c r="F11" i="1"/>
  <c r="F38" i="1"/>
  <c r="F24" i="1"/>
  <c r="F29" i="1"/>
  <c r="F3" i="1"/>
  <c r="F30" i="1"/>
  <c r="F41" i="1"/>
  <c r="F23" i="1"/>
  <c r="F35" i="1"/>
  <c r="F16" i="1"/>
  <c r="F17" i="1"/>
  <c r="F31" i="1"/>
  <c r="F36" i="1"/>
  <c r="F22" i="1"/>
  <c r="F42" i="1"/>
  <c r="F32" i="1"/>
  <c r="F33" i="1"/>
  <c r="F15" i="1"/>
  <c r="F5" i="1"/>
  <c r="F25" i="1"/>
  <c r="F7" i="1"/>
  <c r="E12" i="1"/>
  <c r="E34" i="1"/>
  <c r="E14" i="1"/>
  <c r="E37" i="1"/>
  <c r="E26" i="1"/>
  <c r="E9" i="1"/>
  <c r="E8" i="1"/>
  <c r="E43" i="1"/>
  <c r="E10" i="1"/>
  <c r="E11" i="1"/>
  <c r="E38" i="1"/>
  <c r="E6" i="1"/>
  <c r="E27" i="1"/>
  <c r="E24" i="1"/>
  <c r="E29" i="1"/>
  <c r="E4" i="1"/>
  <c r="E20" i="1"/>
  <c r="E2" i="1"/>
  <c r="E39" i="1"/>
  <c r="E3" i="1"/>
  <c r="E40" i="1"/>
  <c r="E30" i="1"/>
  <c r="E41" i="1"/>
  <c r="E23" i="1"/>
  <c r="E35" i="1"/>
  <c r="E16" i="1"/>
  <c r="E17" i="1"/>
  <c r="E31" i="1"/>
  <c r="E36" i="1"/>
  <c r="E21" i="1"/>
  <c r="E19" i="1"/>
  <c r="E22" i="1"/>
  <c r="E42" i="1"/>
  <c r="E32" i="1"/>
  <c r="E28" i="1"/>
  <c r="E33" i="1"/>
  <c r="E15" i="1"/>
  <c r="E5" i="1"/>
  <c r="E18" i="1"/>
  <c r="E25" i="1"/>
  <c r="E7" i="1"/>
</calcChain>
</file>

<file path=xl/sharedStrings.xml><?xml version="1.0" encoding="utf-8"?>
<sst xmlns="http://schemas.openxmlformats.org/spreadsheetml/2006/main" count="136" uniqueCount="84">
  <si>
    <t>MoM</t>
  </si>
  <si>
    <t>YoY</t>
  </si>
  <si>
    <t>Average of Mar-25</t>
  </si>
  <si>
    <t xml:space="preserve">Agric hen eggs, </t>
  </si>
  <si>
    <t>Agric hen eggs, (a Crate of 30 pieces)</t>
  </si>
  <si>
    <t>Beans Brown</t>
  </si>
  <si>
    <t>Beans white</t>
  </si>
  <si>
    <t>Beef Boneless</t>
  </si>
  <si>
    <t>Bread (sliced), 450g</t>
  </si>
  <si>
    <t>Bread (unsliced), 450g</t>
  </si>
  <si>
    <t>Cat fresh fish</t>
  </si>
  <si>
    <t>Chicken feet</t>
  </si>
  <si>
    <t>Chicken meat (Frozen)</t>
  </si>
  <si>
    <t>Chicken Wings</t>
  </si>
  <si>
    <t>Dried fish, Bonga</t>
  </si>
  <si>
    <t>Garri white</t>
  </si>
  <si>
    <t>Garri Yellow</t>
  </si>
  <si>
    <t>Groundnut oil, 75cl</t>
  </si>
  <si>
    <t>Irish Potatoe</t>
  </si>
  <si>
    <t>Local Rice (Broken)</t>
  </si>
  <si>
    <t>Mackerel, Frozen</t>
  </si>
  <si>
    <t>Maize (Corn) Grains (White) sold loose</t>
  </si>
  <si>
    <t xml:space="preserve">Onions, fresh </t>
  </si>
  <si>
    <t>Palm oil, 75cl</t>
  </si>
  <si>
    <t>Plantain (ripe)</t>
  </si>
  <si>
    <t>Plantain (unripe)</t>
  </si>
  <si>
    <t>Rice Local, short-Grained</t>
  </si>
  <si>
    <t>Rice Long-Grained (Imported)</t>
  </si>
  <si>
    <t>Smoked fish (Mackerel)</t>
  </si>
  <si>
    <t xml:space="preserve">Sweet potatoes </t>
  </si>
  <si>
    <t>Tilapia fresh fish (Epiya)</t>
  </si>
  <si>
    <t>Tin Milk-Evaporated, Peak Milk, 150g</t>
  </si>
  <si>
    <t>Tin Milk-Evaporated, Three Crown Milk, 160g</t>
  </si>
  <si>
    <t>Titus, frozen</t>
  </si>
  <si>
    <t xml:space="preserve">Tomatoes, fresh </t>
  </si>
  <si>
    <t>Vegetable Oil, 75cl</t>
  </si>
  <si>
    <t>Wheat Flour, Prepacked (2kg)</t>
  </si>
  <si>
    <t>Yam Tuber</t>
  </si>
  <si>
    <t>Item Label</t>
  </si>
  <si>
    <t>Carrots, fresh</t>
  </si>
  <si>
    <t>Cray fish small white</t>
  </si>
  <si>
    <t>Ginger, fresh</t>
  </si>
  <si>
    <t>Goat Meat Bone in</t>
  </si>
  <si>
    <t>Groundnuts, roasted,75cl bottle</t>
  </si>
  <si>
    <t>Semovita, Prepacked (1kg)</t>
  </si>
  <si>
    <t>Watermelon whole, medium size fresh</t>
  </si>
  <si>
    <t>Average of Apr-25</t>
  </si>
  <si>
    <t>Average of Apr-24</t>
  </si>
  <si>
    <t xml:space="preserve">Enugu </t>
  </si>
  <si>
    <t xml:space="preserve">Abia </t>
  </si>
  <si>
    <t xml:space="preserve">Ogun </t>
  </si>
  <si>
    <t xml:space="preserve">Ebonyi </t>
  </si>
  <si>
    <t xml:space="preserve">Imo </t>
  </si>
  <si>
    <t xml:space="preserve">Plateau </t>
  </si>
  <si>
    <t xml:space="preserve">Ondo </t>
  </si>
  <si>
    <t xml:space="preserve">Kogi </t>
  </si>
  <si>
    <t xml:space="preserve">Abuja </t>
  </si>
  <si>
    <t xml:space="preserve">Yobe </t>
  </si>
  <si>
    <t xml:space="preserve">Ekiti </t>
  </si>
  <si>
    <t xml:space="preserve">Bayelsa </t>
  </si>
  <si>
    <t xml:space="preserve">Anambra </t>
  </si>
  <si>
    <t xml:space="preserve">Cross River </t>
  </si>
  <si>
    <t xml:space="preserve">Adamawa </t>
  </si>
  <si>
    <t xml:space="preserve">Kwara </t>
  </si>
  <si>
    <t xml:space="preserve">Delta </t>
  </si>
  <si>
    <t xml:space="preserve">Benue </t>
  </si>
  <si>
    <t xml:space="preserve">Borno </t>
  </si>
  <si>
    <t xml:space="preserve">Kaduna </t>
  </si>
  <si>
    <t xml:space="preserve">Jigawa </t>
  </si>
  <si>
    <t xml:space="preserve">Sokoto </t>
  </si>
  <si>
    <t xml:space="preserve">Osun </t>
  </si>
  <si>
    <t xml:space="preserve">Zamfara </t>
  </si>
  <si>
    <t xml:space="preserve">Gombe </t>
  </si>
  <si>
    <t xml:space="preserve">Akwa Ibom </t>
  </si>
  <si>
    <t xml:space="preserve">Oyo </t>
  </si>
  <si>
    <t xml:space="preserve">Niger </t>
  </si>
  <si>
    <t xml:space="preserve">Taraba </t>
  </si>
  <si>
    <t xml:space="preserve">Kano </t>
  </si>
  <si>
    <t xml:space="preserve">Lagos </t>
  </si>
  <si>
    <t xml:space="preserve">Kebbi </t>
  </si>
  <si>
    <t xml:space="preserve">Nasarawa </t>
  </si>
  <si>
    <t xml:space="preserve">Katsina </t>
  </si>
  <si>
    <t>Price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</si>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</sst>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43" fontId="2" fillId="0" borderId="0" xfId="1" applyFont="1" applyFill="1" applyBorder="1"/>
    <xf numFmtId="0" fontId="2" fillId="0" borderId="0" xfId="0" applyFont="1"/>
    <xf numFmtId="43" fontId="3" fillId="0" borderId="0" xfId="1" applyFont="1" applyFill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43" fontId="3" fillId="0" borderId="0" xfId="1" applyFont="1" applyFill="1" applyBorder="1" applyAlignment="1">
      <alignment horizontal="left"/>
    </xf>
    <xf numFmtId="43" fontId="2" fillId="0" borderId="0" xfId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4949-5A6F-417D-AA50-4DF7240DF8A9}">
  <sheetPr codeName="Sheet1"/>
  <dimension ref="A1:J45"/>
  <sheetViews>
    <sheetView tabSelected="1" zoomScale="94" zoomScaleNormal="94" workbookViewId="0">
      <selection activeCell="N16" sqref="N16"/>
    </sheetView>
  </sheetViews>
  <sheetFormatPr defaultRowHeight="14.5" x14ac:dyDescent="0.35"/>
  <cols>
    <col min="1" max="1" width="40.453125" style="4" bestFit="1" customWidth="1"/>
    <col min="2" max="2" width="17.08984375" style="2" bestFit="1" customWidth="1"/>
    <col min="3" max="3" width="18.36328125" style="2" bestFit="1" customWidth="1"/>
    <col min="4" max="4" width="17" style="2" bestFit="1" customWidth="1"/>
    <col min="5" max="5" width="9.36328125" style="2" bestFit="1" customWidth="1"/>
    <col min="6" max="6" width="8.81640625" style="2" bestFit="1" customWidth="1"/>
    <col min="7" max="7" width="17.26953125" style="2" bestFit="1" customWidth="1"/>
    <col min="8" max="8" width="8.7265625" style="2"/>
    <col min="9" max="9" width="18.81640625" style="2" bestFit="1" customWidth="1"/>
    <col min="10" max="10" width="8.7265625" style="2"/>
  </cols>
  <sheetData>
    <row r="1" spans="1:10" s="1" customFormat="1" x14ac:dyDescent="0.35">
      <c r="A1" s="5" t="s">
        <v>38</v>
      </c>
      <c r="B1" s="7" t="s">
        <v>47</v>
      </c>
      <c r="C1" s="8" t="s">
        <v>2</v>
      </c>
      <c r="D1" s="7" t="s">
        <v>46</v>
      </c>
      <c r="E1" s="6" t="s">
        <v>0</v>
      </c>
      <c r="F1" s="6" t="s">
        <v>1</v>
      </c>
      <c r="G1" s="6" t="s">
        <v>83</v>
      </c>
      <c r="H1" s="6" t="s">
        <v>82</v>
      </c>
      <c r="I1" s="6" t="s">
        <v>83</v>
      </c>
      <c r="J1" s="6" t="s">
        <v>82</v>
      </c>
    </row>
    <row r="2" spans="1:10" ht="15" customHeight="1" x14ac:dyDescent="0.35">
      <c r="A2" s="3" t="s">
        <v>17</v>
      </c>
      <c r="B2" s="9"/>
      <c r="C2" s="9">
        <v>3218.8178332615544</v>
      </c>
      <c r="D2" s="9">
        <v>3250.3191343826411</v>
      </c>
      <c r="E2" s="9">
        <f>(D2-C2)/C2*100</f>
        <v>0.97866057518288252</v>
      </c>
      <c r="F2" s="9"/>
      <c r="G2" s="2" t="s">
        <v>58</v>
      </c>
      <c r="H2" s="2">
        <v>4200</v>
      </c>
      <c r="I2" s="2" t="s">
        <v>49</v>
      </c>
      <c r="J2" s="2">
        <v>2335.0500000000002</v>
      </c>
    </row>
    <row r="3" spans="1:10" ht="15" customHeight="1" x14ac:dyDescent="0.35">
      <c r="A3" s="3" t="s">
        <v>18</v>
      </c>
      <c r="B3" s="9">
        <v>1413.5653635420099</v>
      </c>
      <c r="C3" s="9">
        <v>1881.7562755561667</v>
      </c>
      <c r="D3" s="9">
        <v>1948.6077123661707</v>
      </c>
      <c r="E3" s="9">
        <f>(D3-C3)/C3*100</f>
        <v>3.5526086814959958</v>
      </c>
      <c r="F3" s="9">
        <f>(D3-B3)/B3*100</f>
        <v>37.850555950486111</v>
      </c>
      <c r="G3" s="2" t="s">
        <v>60</v>
      </c>
      <c r="H3" s="2">
        <v>3044.25</v>
      </c>
      <c r="I3" s="2" t="s">
        <v>56</v>
      </c>
      <c r="J3" s="2">
        <v>1200</v>
      </c>
    </row>
    <row r="4" spans="1:10" ht="15" customHeight="1" x14ac:dyDescent="0.35">
      <c r="A4" s="3" t="s">
        <v>41</v>
      </c>
      <c r="B4" s="9"/>
      <c r="C4" s="9">
        <v>4600.2308180510354</v>
      </c>
      <c r="D4" s="9">
        <v>4970.6588425756818</v>
      </c>
      <c r="E4" s="9">
        <f>(D4-C4)/C4*100</f>
        <v>8.0523790908731918</v>
      </c>
      <c r="F4" s="9"/>
      <c r="G4" s="2" t="s">
        <v>51</v>
      </c>
      <c r="H4" s="2">
        <v>6413.27</v>
      </c>
      <c r="I4" s="2" t="s">
        <v>62</v>
      </c>
      <c r="J4" s="2">
        <v>3800</v>
      </c>
    </row>
    <row r="5" spans="1:10" ht="15" customHeight="1" x14ac:dyDescent="0.35">
      <c r="A5" s="3" t="s">
        <v>35</v>
      </c>
      <c r="B5" s="9">
        <v>2078.2084834179068</v>
      </c>
      <c r="C5" s="9">
        <v>3337.0082982445942</v>
      </c>
      <c r="D5" s="9">
        <v>3374.8094323292303</v>
      </c>
      <c r="E5" s="9">
        <f>(D5-C5)/C5*100</f>
        <v>1.1327851388479018</v>
      </c>
      <c r="F5" s="9">
        <f>(D5-B5)/B5*100</f>
        <v>62.39032124336633</v>
      </c>
      <c r="G5" s="2" t="s">
        <v>58</v>
      </c>
      <c r="H5" s="2">
        <v>4800</v>
      </c>
      <c r="I5" s="2" t="s">
        <v>62</v>
      </c>
      <c r="J5" s="2">
        <v>2600</v>
      </c>
    </row>
    <row r="6" spans="1:10" ht="15" customHeight="1" x14ac:dyDescent="0.35">
      <c r="A6" s="3" t="s">
        <v>40</v>
      </c>
      <c r="B6" s="9"/>
      <c r="C6" s="9">
        <v>6657.0025353562387</v>
      </c>
      <c r="D6" s="9">
        <v>6655.6615288069152</v>
      </c>
      <c r="E6" s="9">
        <f>(D6-C6)/C6*100</f>
        <v>-2.0144299813636413E-2</v>
      </c>
      <c r="F6" s="9"/>
      <c r="G6" s="2" t="s">
        <v>55</v>
      </c>
      <c r="H6" s="2">
        <v>8000</v>
      </c>
      <c r="I6" s="2" t="s">
        <v>73</v>
      </c>
      <c r="J6" s="2">
        <v>4576.03</v>
      </c>
    </row>
    <row r="7" spans="1:10" ht="15" customHeight="1" x14ac:dyDescent="0.35">
      <c r="A7" s="3" t="s">
        <v>37</v>
      </c>
      <c r="B7" s="9">
        <v>1130.3692191499467</v>
      </c>
      <c r="C7" s="9">
        <v>2141.1300356787556</v>
      </c>
      <c r="D7" s="9">
        <v>2240.0837774352531</v>
      </c>
      <c r="E7" s="9">
        <f>(D7-C7)/C7*100</f>
        <v>4.621566187367427</v>
      </c>
      <c r="F7" s="9">
        <f>(D7-B7)/B7*100</f>
        <v>98.172750945910138</v>
      </c>
      <c r="G7" s="2" t="s">
        <v>52</v>
      </c>
      <c r="H7" s="2">
        <v>2985.28</v>
      </c>
      <c r="I7" s="2" t="s">
        <v>65</v>
      </c>
      <c r="J7" s="2">
        <v>1810</v>
      </c>
    </row>
    <row r="8" spans="1:10" ht="15" customHeight="1" x14ac:dyDescent="0.35">
      <c r="A8" s="3" t="s">
        <v>39</v>
      </c>
      <c r="B8" s="9"/>
      <c r="C8" s="9">
        <v>1947.0497376807309</v>
      </c>
      <c r="D8" s="9">
        <v>1931.3178570403522</v>
      </c>
      <c r="E8" s="9">
        <f>(D8-C8)/C8*100</f>
        <v>-0.80798555557795027</v>
      </c>
      <c r="F8" s="9"/>
      <c r="G8" s="2" t="s">
        <v>52</v>
      </c>
      <c r="H8" s="2">
        <v>3000</v>
      </c>
      <c r="I8" s="2" t="s">
        <v>66</v>
      </c>
      <c r="J8" s="2">
        <v>1200</v>
      </c>
    </row>
    <row r="9" spans="1:10" ht="15" customHeight="1" x14ac:dyDescent="0.35">
      <c r="A9" s="3" t="s">
        <v>9</v>
      </c>
      <c r="B9" s="9"/>
      <c r="C9" s="9">
        <v>1561.2438133998007</v>
      </c>
      <c r="D9" s="9">
        <v>1547.5179018417966</v>
      </c>
      <c r="E9" s="9">
        <f>(D9-C9)/C9*100</f>
        <v>-0.87916515282223839</v>
      </c>
      <c r="F9" s="9"/>
      <c r="G9" s="2" t="s">
        <v>51</v>
      </c>
      <c r="H9" s="2">
        <v>1922.3</v>
      </c>
      <c r="I9" s="2" t="s">
        <v>58</v>
      </c>
      <c r="J9" s="2">
        <v>1000</v>
      </c>
    </row>
    <row r="10" spans="1:10" ht="15" customHeight="1" x14ac:dyDescent="0.35">
      <c r="A10" s="3" t="s">
        <v>11</v>
      </c>
      <c r="B10" s="9">
        <v>2660.897075167064</v>
      </c>
      <c r="C10" s="9">
        <v>3487.0587798892566</v>
      </c>
      <c r="D10" s="9">
        <v>3502.6970441309572</v>
      </c>
      <c r="E10" s="9">
        <f>(D10-C10)/C10*100</f>
        <v>0.44846574803643835</v>
      </c>
      <c r="F10" s="9">
        <f>(D10-B10)/B10*100</f>
        <v>31.635946268648553</v>
      </c>
      <c r="G10" s="2" t="s">
        <v>54</v>
      </c>
      <c r="H10" s="2">
        <v>4750</v>
      </c>
      <c r="I10" s="2" t="s">
        <v>72</v>
      </c>
      <c r="J10" s="2">
        <v>2300</v>
      </c>
    </row>
    <row r="11" spans="1:10" ht="15" customHeight="1" x14ac:dyDescent="0.35">
      <c r="A11" s="3" t="s">
        <v>12</v>
      </c>
      <c r="B11" s="9">
        <v>4829.1307681304197</v>
      </c>
      <c r="C11" s="9">
        <v>5675.6756756756758</v>
      </c>
      <c r="D11" s="9">
        <v>5740.1492438265332</v>
      </c>
      <c r="E11" s="9">
        <f>(D11-C11)/C11*100</f>
        <v>1.135962867419867</v>
      </c>
      <c r="F11" s="9">
        <f>(D11-B11)/B11*100</f>
        <v>18.865061217814379</v>
      </c>
      <c r="G11" s="2" t="s">
        <v>48</v>
      </c>
      <c r="H11" s="2">
        <v>8216.56</v>
      </c>
      <c r="I11" s="2" t="s">
        <v>72</v>
      </c>
      <c r="J11" s="2">
        <v>4600</v>
      </c>
    </row>
    <row r="12" spans="1:10" ht="15" customHeight="1" x14ac:dyDescent="0.35">
      <c r="A12" s="3" t="s">
        <v>4</v>
      </c>
      <c r="B12" s="9"/>
      <c r="C12" s="9">
        <v>7670.5591900852714</v>
      </c>
      <c r="D12" s="9">
        <v>6150.1780720720717</v>
      </c>
      <c r="E12" s="9">
        <f>(D12-C12)/C12*100</f>
        <v>-19.820994536857203</v>
      </c>
      <c r="F12" s="9"/>
      <c r="G12" s="2" t="s">
        <v>48</v>
      </c>
      <c r="H12" s="2">
        <v>7869.33</v>
      </c>
      <c r="I12" s="2" t="s">
        <v>68</v>
      </c>
      <c r="J12" s="2">
        <v>540</v>
      </c>
    </row>
    <row r="13" spans="1:10" ht="15" customHeight="1" x14ac:dyDescent="0.35">
      <c r="A13" s="3" t="s">
        <v>3</v>
      </c>
      <c r="B13" s="9">
        <v>150.84890993392594</v>
      </c>
      <c r="C13" s="9">
        <v>261.1823462867568</v>
      </c>
      <c r="D13" s="9">
        <v>259.31615245998495</v>
      </c>
      <c r="E13" s="9">
        <f>(D13-C13)/C13*100</f>
        <v>-0.71451759787888591</v>
      </c>
      <c r="F13" s="9">
        <f>(D13-B13)/B13*100</f>
        <v>71.904558391286528</v>
      </c>
      <c r="G13" s="2" t="s">
        <v>48</v>
      </c>
      <c r="H13" s="2">
        <v>356.73</v>
      </c>
      <c r="I13" s="2" t="s">
        <v>67</v>
      </c>
      <c r="J13" s="2">
        <v>220</v>
      </c>
    </row>
    <row r="14" spans="1:10" ht="15" customHeight="1" x14ac:dyDescent="0.35">
      <c r="A14" s="3" t="s">
        <v>6</v>
      </c>
      <c r="B14" s="9">
        <v>1313.4789746048705</v>
      </c>
      <c r="C14" s="9">
        <v>2215.107057094709</v>
      </c>
      <c r="D14" s="9">
        <v>2097.309931445076</v>
      </c>
      <c r="E14" s="9">
        <f>(D14-C14)/C14*100</f>
        <v>-5.317897628123375</v>
      </c>
      <c r="F14" s="9">
        <f>(D14-B14)/B14*100</f>
        <v>59.675942439505192</v>
      </c>
      <c r="G14" s="2" t="s">
        <v>48</v>
      </c>
      <c r="H14" s="2">
        <v>3100</v>
      </c>
      <c r="I14" s="2" t="s">
        <v>67</v>
      </c>
      <c r="J14" s="2">
        <v>1503.96</v>
      </c>
    </row>
    <row r="15" spans="1:10" ht="15" customHeight="1" x14ac:dyDescent="0.35">
      <c r="A15" s="3" t="s">
        <v>34</v>
      </c>
      <c r="B15" s="9">
        <v>1123.4134982294665</v>
      </c>
      <c r="C15" s="9">
        <v>1157.3457186910782</v>
      </c>
      <c r="D15" s="9">
        <v>1283.5712136417649</v>
      </c>
      <c r="E15" s="9">
        <f>(D15-C15)/C15*100</f>
        <v>10.906464067922913</v>
      </c>
      <c r="F15" s="9">
        <f>(D15-B15)/B15*100</f>
        <v>14.256346008367506</v>
      </c>
      <c r="G15" s="2" t="s">
        <v>52</v>
      </c>
      <c r="H15" s="2">
        <v>1929.19</v>
      </c>
      <c r="I15" s="2" t="s">
        <v>67</v>
      </c>
      <c r="J15" s="2">
        <v>848.78</v>
      </c>
    </row>
    <row r="16" spans="1:10" ht="15" customHeight="1" x14ac:dyDescent="0.35">
      <c r="A16" s="3" t="s">
        <v>24</v>
      </c>
      <c r="B16" s="9">
        <v>1009.052271765775</v>
      </c>
      <c r="C16" s="9">
        <v>2002.584171777326</v>
      </c>
      <c r="D16" s="9">
        <v>2057.3966196227657</v>
      </c>
      <c r="E16" s="9">
        <f>(D16-C16)/C16*100</f>
        <v>2.7370858422791167</v>
      </c>
      <c r="F16" s="9">
        <f>(D16-B16)/B16*100</f>
        <v>103.89395843908633</v>
      </c>
      <c r="G16" s="2" t="s">
        <v>53</v>
      </c>
      <c r="H16" s="2">
        <v>2696.63</v>
      </c>
      <c r="I16" s="2" t="s">
        <v>77</v>
      </c>
      <c r="J16" s="2">
        <v>1650.58</v>
      </c>
    </row>
    <row r="17" spans="1:10" ht="15" customHeight="1" x14ac:dyDescent="0.35">
      <c r="A17" s="3" t="s">
        <v>25</v>
      </c>
      <c r="B17" s="9">
        <v>1000.4077025281122</v>
      </c>
      <c r="C17" s="9">
        <v>2214.5652797776611</v>
      </c>
      <c r="D17" s="9">
        <v>2231.8082619367033</v>
      </c>
      <c r="E17" s="9">
        <f>(D17-C17)/C17*100</f>
        <v>0.7786170187213155</v>
      </c>
      <c r="F17" s="9">
        <f>(D17-B17)/B17*100</f>
        <v>123.08987188890501</v>
      </c>
      <c r="G17" s="2" t="s">
        <v>53</v>
      </c>
      <c r="H17" s="2">
        <v>2904.77</v>
      </c>
      <c r="I17" s="2" t="s">
        <v>77</v>
      </c>
      <c r="J17" s="2">
        <v>1566.67</v>
      </c>
    </row>
    <row r="18" spans="1:10" ht="15" customHeight="1" x14ac:dyDescent="0.35">
      <c r="A18" s="3" t="s">
        <v>45</v>
      </c>
      <c r="B18" s="9"/>
      <c r="C18" s="9">
        <v>2040.8187329558109</v>
      </c>
      <c r="D18" s="9">
        <v>2057.3488049013358</v>
      </c>
      <c r="E18" s="9">
        <f>(D18-C18)/C18*100</f>
        <v>0.8099725702529037</v>
      </c>
      <c r="F18" s="9"/>
      <c r="G18" s="2" t="s">
        <v>60</v>
      </c>
      <c r="H18" s="2">
        <v>3057.15</v>
      </c>
      <c r="I18" s="2" t="s">
        <v>81</v>
      </c>
      <c r="J18" s="2">
        <v>1384.6</v>
      </c>
    </row>
    <row r="19" spans="1:10" ht="15" customHeight="1" x14ac:dyDescent="0.35">
      <c r="A19" s="3" t="s">
        <v>28</v>
      </c>
      <c r="B19" s="9"/>
      <c r="C19" s="9">
        <v>5752.7551214759096</v>
      </c>
      <c r="D19" s="9">
        <v>5920.8372821896492</v>
      </c>
      <c r="E19" s="9">
        <f>(D19-C19)/C19*100</f>
        <v>2.9217680426942434</v>
      </c>
      <c r="F19" s="9"/>
      <c r="G19" s="2" t="s">
        <v>63</v>
      </c>
      <c r="H19" s="2">
        <v>8258</v>
      </c>
      <c r="I19" s="2" t="s">
        <v>79</v>
      </c>
      <c r="J19" s="2">
        <v>3871.39</v>
      </c>
    </row>
    <row r="20" spans="1:10" ht="15" customHeight="1" x14ac:dyDescent="0.35">
      <c r="A20" s="3" t="s">
        <v>42</v>
      </c>
      <c r="B20" s="9"/>
      <c r="C20" s="9">
        <v>6892.4622955467967</v>
      </c>
      <c r="D20" s="9">
        <v>6708.452752046177</v>
      </c>
      <c r="E20" s="9">
        <f>(D20-C20)/C20*100</f>
        <v>-2.6697214378598453</v>
      </c>
      <c r="F20" s="9"/>
      <c r="G20" s="2" t="s">
        <v>52</v>
      </c>
      <c r="H20" s="2">
        <v>9200</v>
      </c>
      <c r="I20" s="2" t="s">
        <v>55</v>
      </c>
      <c r="J20" s="2">
        <v>4000</v>
      </c>
    </row>
    <row r="21" spans="1:10" ht="15" customHeight="1" x14ac:dyDescent="0.35">
      <c r="A21" s="3" t="s">
        <v>44</v>
      </c>
      <c r="B21" s="9"/>
      <c r="C21" s="9">
        <v>2173.1178654254054</v>
      </c>
      <c r="D21" s="9">
        <v>2257.1981600205663</v>
      </c>
      <c r="E21" s="9">
        <f>(D21-C21)/C21*100</f>
        <v>3.8691088013627613</v>
      </c>
      <c r="F21" s="9"/>
      <c r="G21" s="2" t="s">
        <v>62</v>
      </c>
      <c r="H21" s="2">
        <v>2887</v>
      </c>
      <c r="I21" s="2" t="s">
        <v>78</v>
      </c>
      <c r="J21" s="2">
        <v>1900</v>
      </c>
    </row>
    <row r="22" spans="1:10" ht="15" customHeight="1" x14ac:dyDescent="0.35">
      <c r="A22" s="3" t="s">
        <v>29</v>
      </c>
      <c r="B22" s="9">
        <v>807.34893293995515</v>
      </c>
      <c r="C22" s="9">
        <v>909.88487977933926</v>
      </c>
      <c r="D22" s="9">
        <v>938.42378465177228</v>
      </c>
      <c r="E22" s="9">
        <f>(D22-C22)/C22*100</f>
        <v>3.1365401829024941</v>
      </c>
      <c r="F22" s="9">
        <f>(D22-B22)/B22*100</f>
        <v>16.235217062157876</v>
      </c>
      <c r="G22" s="2" t="s">
        <v>64</v>
      </c>
      <c r="H22" s="2">
        <v>1588.38</v>
      </c>
      <c r="I22" s="2" t="s">
        <v>80</v>
      </c>
      <c r="J22" s="2">
        <v>560</v>
      </c>
    </row>
    <row r="23" spans="1:10" ht="15" customHeight="1" x14ac:dyDescent="0.35">
      <c r="A23" s="3" t="s">
        <v>22</v>
      </c>
      <c r="B23" s="9">
        <v>1018.8331855140067</v>
      </c>
      <c r="C23" s="9">
        <v>1434.8498267248613</v>
      </c>
      <c r="D23" s="9">
        <v>1503.5644918098744</v>
      </c>
      <c r="E23" s="9">
        <f>(D23-C23)/C23*100</f>
        <v>4.7889795716015033</v>
      </c>
      <c r="F23" s="9">
        <f>(D23-B23)/B23*100</f>
        <v>47.577102236939631</v>
      </c>
      <c r="G23" s="2" t="s">
        <v>49</v>
      </c>
      <c r="H23" s="2">
        <v>2840.42</v>
      </c>
      <c r="I23" s="2" t="s">
        <v>75</v>
      </c>
      <c r="J23" s="2">
        <v>850</v>
      </c>
    </row>
    <row r="24" spans="1:10" ht="15" customHeight="1" x14ac:dyDescent="0.35">
      <c r="A24" s="3" t="s">
        <v>15</v>
      </c>
      <c r="B24" s="9">
        <v>851.80859011491202</v>
      </c>
      <c r="C24" s="9">
        <v>1362.95931475153</v>
      </c>
      <c r="D24" s="9">
        <v>1345.0978505148996</v>
      </c>
      <c r="E24" s="9">
        <f>(D24-C24)/C24*100</f>
        <v>-1.3104913729494949</v>
      </c>
      <c r="F24" s="9">
        <f>(D24-B24)/B24*100</f>
        <v>57.910810729607817</v>
      </c>
      <c r="G24" s="2" t="s">
        <v>56</v>
      </c>
      <c r="H24" s="2">
        <v>1902</v>
      </c>
      <c r="I24" s="2" t="s">
        <v>54</v>
      </c>
      <c r="J24" s="2">
        <v>1000</v>
      </c>
    </row>
    <row r="25" spans="1:10" ht="15" customHeight="1" x14ac:dyDescent="0.35">
      <c r="A25" s="3" t="s">
        <v>36</v>
      </c>
      <c r="B25" s="9">
        <v>2573.2493221031414</v>
      </c>
      <c r="C25" s="9">
        <v>4114.2425360704465</v>
      </c>
      <c r="D25" s="9">
        <v>4166.5681996130534</v>
      </c>
      <c r="E25" s="9">
        <f>(D25-C25)/C25*100</f>
        <v>1.2718176695675225</v>
      </c>
      <c r="F25" s="9">
        <f>(D25-B25)/B25*100</f>
        <v>61.918558136748182</v>
      </c>
      <c r="G25" s="2" t="s">
        <v>52</v>
      </c>
      <c r="H25" s="2">
        <v>6247.72</v>
      </c>
      <c r="I25" s="2" t="s">
        <v>54</v>
      </c>
      <c r="J25" s="2">
        <v>3300</v>
      </c>
    </row>
    <row r="26" spans="1:10" ht="15" customHeight="1" x14ac:dyDescent="0.35">
      <c r="A26" s="3" t="s">
        <v>8</v>
      </c>
      <c r="B26" s="9"/>
      <c r="C26" s="9">
        <v>1680.1746973918919</v>
      </c>
      <c r="D26" s="9">
        <v>1688.3998457337566</v>
      </c>
      <c r="E26" s="9">
        <f>(D26-C26)/C26*100</f>
        <v>0.4895412575033114</v>
      </c>
      <c r="F26" s="9"/>
      <c r="G26" s="2" t="s">
        <v>50</v>
      </c>
      <c r="H26" s="2">
        <v>2187.92</v>
      </c>
      <c r="I26" s="2" t="s">
        <v>70</v>
      </c>
      <c r="J26" s="2">
        <v>1256.25</v>
      </c>
    </row>
    <row r="27" spans="1:10" ht="15" customHeight="1" x14ac:dyDescent="0.35">
      <c r="A27" s="3" t="s">
        <v>14</v>
      </c>
      <c r="B27" s="9"/>
      <c r="C27" s="9">
        <v>6493.7843284955406</v>
      </c>
      <c r="D27" s="9">
        <v>6657.7427764140566</v>
      </c>
      <c r="E27" s="9">
        <f>(D27-C27)/C27*100</f>
        <v>2.5248520681391544</v>
      </c>
      <c r="F27" s="9"/>
      <c r="G27" s="2" t="s">
        <v>51</v>
      </c>
      <c r="H27" s="2">
        <v>10000</v>
      </c>
      <c r="I27" s="2" t="s">
        <v>70</v>
      </c>
      <c r="J27" s="2">
        <v>4500</v>
      </c>
    </row>
    <row r="28" spans="1:10" ht="15" customHeight="1" x14ac:dyDescent="0.35">
      <c r="A28" s="3" t="s">
        <v>32</v>
      </c>
      <c r="B28" s="9"/>
      <c r="C28" s="9">
        <v>872.1352708081082</v>
      </c>
      <c r="D28" s="9">
        <v>888.91036973350288</v>
      </c>
      <c r="E28" s="9">
        <f>(D28-C28)/C28*100</f>
        <v>1.923451497363603</v>
      </c>
      <c r="F28" s="9"/>
      <c r="G28" s="2" t="s">
        <v>66</v>
      </c>
      <c r="H28" s="2">
        <v>1184.25</v>
      </c>
      <c r="I28" s="2" t="s">
        <v>70</v>
      </c>
      <c r="J28" s="2">
        <v>750</v>
      </c>
    </row>
    <row r="29" spans="1:10" ht="15" customHeight="1" x14ac:dyDescent="0.35">
      <c r="A29" s="3" t="s">
        <v>16</v>
      </c>
      <c r="B29" s="9">
        <v>909.76592236758302</v>
      </c>
      <c r="C29" s="9">
        <v>1456.6512649646875</v>
      </c>
      <c r="D29" s="9">
        <v>1422.3398477023618</v>
      </c>
      <c r="E29" s="9">
        <f>(D29-C29)/C29*100</f>
        <v>-2.3554997745570532</v>
      </c>
      <c r="F29" s="9">
        <f>(D29-B29)/B29*100</f>
        <v>56.341297550566829</v>
      </c>
      <c r="G29" s="2" t="s">
        <v>57</v>
      </c>
      <c r="H29" s="2">
        <v>2060</v>
      </c>
      <c r="I29" s="2" t="s">
        <v>74</v>
      </c>
      <c r="J29" s="2">
        <v>1100</v>
      </c>
    </row>
    <row r="30" spans="1:10" ht="15" customHeight="1" x14ac:dyDescent="0.35">
      <c r="A30" s="3" t="s">
        <v>20</v>
      </c>
      <c r="B30" s="9">
        <v>3224.985167152322</v>
      </c>
      <c r="C30" s="9">
        <v>5482.6327859487847</v>
      </c>
      <c r="D30" s="9">
        <v>5417.3963473999565</v>
      </c>
      <c r="E30" s="9">
        <f>(D30-C30)/C30*100</f>
        <v>-1.1898743011937607</v>
      </c>
      <c r="F30" s="9">
        <f>(D30-B30)/B30*100</f>
        <v>67.982054695263756</v>
      </c>
      <c r="G30" s="2" t="s">
        <v>53</v>
      </c>
      <c r="H30" s="2">
        <v>9000</v>
      </c>
      <c r="I30" s="2" t="s">
        <v>74</v>
      </c>
      <c r="J30" s="2">
        <v>3500</v>
      </c>
    </row>
    <row r="31" spans="1:10" ht="15" customHeight="1" x14ac:dyDescent="0.35">
      <c r="A31" s="3" t="s">
        <v>26</v>
      </c>
      <c r="B31" s="9">
        <v>1399.340800116044</v>
      </c>
      <c r="C31" s="9">
        <v>2242.6382187062827</v>
      </c>
      <c r="D31" s="9">
        <v>2144.0498599702564</v>
      </c>
      <c r="E31" s="9">
        <f>(D31-C31)/C31*100</f>
        <v>-4.3960884066668253</v>
      </c>
      <c r="F31" s="9">
        <f>(D31-B31)/B31*100</f>
        <v>53.218562611227767</v>
      </c>
      <c r="G31" s="2" t="s">
        <v>48</v>
      </c>
      <c r="H31" s="2">
        <v>2600</v>
      </c>
      <c r="I31" s="2" t="s">
        <v>74</v>
      </c>
      <c r="J31" s="2">
        <v>1800</v>
      </c>
    </row>
    <row r="32" spans="1:10" ht="15" customHeight="1" x14ac:dyDescent="0.35">
      <c r="A32" s="3" t="s">
        <v>31</v>
      </c>
      <c r="B32" s="9">
        <v>725.73968747105641</v>
      </c>
      <c r="C32" s="9">
        <v>999.17967446513512</v>
      </c>
      <c r="D32" s="9">
        <v>994.19173616473597</v>
      </c>
      <c r="E32" s="9">
        <f>(D32-C32)/C32*100</f>
        <v>-0.4992033392862214</v>
      </c>
      <c r="F32" s="9">
        <f>(D32-B32)/B32*100</f>
        <v>36.990129288524798</v>
      </c>
      <c r="G32" s="2" t="s">
        <v>48</v>
      </c>
      <c r="H32" s="2">
        <v>1302.83</v>
      </c>
      <c r="I32" s="2" t="s">
        <v>74</v>
      </c>
      <c r="J32" s="2">
        <v>860</v>
      </c>
    </row>
    <row r="33" spans="1:10" ht="15" customHeight="1" x14ac:dyDescent="0.35">
      <c r="A33" s="3" t="s">
        <v>33</v>
      </c>
      <c r="B33" s="9">
        <v>3395.049319691122</v>
      </c>
      <c r="C33" s="9">
        <v>5860.0071237336542</v>
      </c>
      <c r="D33" s="9">
        <v>5939.2872886936748</v>
      </c>
      <c r="E33" s="9">
        <f>(D33-C33)/C33*100</f>
        <v>1.3529021942469563</v>
      </c>
      <c r="F33" s="9">
        <f>(D33-B33)/B33*100</f>
        <v>74.93964680413022</v>
      </c>
      <c r="G33" s="2" t="s">
        <v>63</v>
      </c>
      <c r="H33" s="2">
        <v>8927.2900000000009</v>
      </c>
      <c r="I33" s="2" t="s">
        <v>74</v>
      </c>
      <c r="J33" s="2">
        <v>4490</v>
      </c>
    </row>
    <row r="34" spans="1:10" ht="15" customHeight="1" x14ac:dyDescent="0.35">
      <c r="A34" s="3" t="s">
        <v>5</v>
      </c>
      <c r="B34" s="9">
        <v>1387.9030212503003</v>
      </c>
      <c r="C34" s="9">
        <v>2616.2636109231839</v>
      </c>
      <c r="D34" s="9">
        <v>2429.3885720073285</v>
      </c>
      <c r="E34" s="9">
        <f>(D34-C34)/C34*100</f>
        <v>-7.142821470116079</v>
      </c>
      <c r="F34" s="9">
        <f>(D34-B34)/B34*100</f>
        <v>75.040225059730773</v>
      </c>
      <c r="G34" s="2" t="s">
        <v>49</v>
      </c>
      <c r="H34" s="2">
        <v>3600</v>
      </c>
      <c r="I34" s="2" t="s">
        <v>69</v>
      </c>
      <c r="J34" s="2">
        <v>1658.02</v>
      </c>
    </row>
    <row r="35" spans="1:10" ht="15" customHeight="1" x14ac:dyDescent="0.35">
      <c r="A35" s="3" t="s">
        <v>23</v>
      </c>
      <c r="B35" s="9">
        <v>1634.054028721901</v>
      </c>
      <c r="C35" s="9">
        <v>2511.7729143043784</v>
      </c>
      <c r="D35" s="9">
        <v>2516.3571664481105</v>
      </c>
      <c r="E35" s="9">
        <f>(D35-C35)/C35*100</f>
        <v>0.18251061302656352</v>
      </c>
      <c r="F35" s="9">
        <f>(D35-B35)/B35*100</f>
        <v>53.994734703865063</v>
      </c>
      <c r="G35" s="2" t="s">
        <v>48</v>
      </c>
      <c r="H35" s="2">
        <v>3216.49</v>
      </c>
      <c r="I35" s="2" t="s">
        <v>76</v>
      </c>
      <c r="J35" s="2">
        <v>1795.83</v>
      </c>
    </row>
    <row r="36" spans="1:10" ht="15" customHeight="1" x14ac:dyDescent="0.35">
      <c r="A36" s="3" t="s">
        <v>27</v>
      </c>
      <c r="B36" s="9">
        <v>1771.5635205881172</v>
      </c>
      <c r="C36" s="9">
        <v>2679.5060014625356</v>
      </c>
      <c r="D36" s="9">
        <v>2574.114841876285</v>
      </c>
      <c r="E36" s="9">
        <f>(D36-C36)/C36*100</f>
        <v>-3.9332309585694385</v>
      </c>
      <c r="F36" s="9">
        <f>(D36-B36)/B36*100</f>
        <v>45.301865383959807</v>
      </c>
      <c r="G36" s="2" t="s">
        <v>61</v>
      </c>
      <c r="H36" s="2">
        <v>3200</v>
      </c>
      <c r="I36" s="2" t="s">
        <v>76</v>
      </c>
      <c r="J36" s="2">
        <v>2000</v>
      </c>
    </row>
    <row r="37" spans="1:10" ht="15" customHeight="1" x14ac:dyDescent="0.35">
      <c r="A37" s="3" t="s">
        <v>7</v>
      </c>
      <c r="B37" s="9">
        <v>4711.646953685974</v>
      </c>
      <c r="C37" s="9">
        <v>6523.5009907142521</v>
      </c>
      <c r="D37" s="9">
        <v>6544.536858449178</v>
      </c>
      <c r="E37" s="9">
        <f>(D37-C37)/C37*100</f>
        <v>0.32246285797869845</v>
      </c>
      <c r="F37" s="9">
        <f>(D37-B37)/B37*100</f>
        <v>38.901257305140696</v>
      </c>
      <c r="G37" s="2" t="s">
        <v>49</v>
      </c>
      <c r="H37" s="2">
        <v>8673.77</v>
      </c>
      <c r="I37" s="2" t="s">
        <v>57</v>
      </c>
      <c r="J37" s="2">
        <v>5300</v>
      </c>
    </row>
    <row r="38" spans="1:10" ht="15" customHeight="1" x14ac:dyDescent="0.35">
      <c r="A38" s="3" t="s">
        <v>13</v>
      </c>
      <c r="B38" s="9">
        <v>3330.3014098634035</v>
      </c>
      <c r="C38" s="9">
        <v>4671.3133143490386</v>
      </c>
      <c r="D38" s="9">
        <v>4771.9236733382295</v>
      </c>
      <c r="E38" s="9">
        <f>(D38-C38)/C38*100</f>
        <v>2.1537917116401184</v>
      </c>
      <c r="F38" s="9">
        <f>(D38-B38)/B38*100</f>
        <v>43.288041713135989</v>
      </c>
      <c r="G38" s="2" t="s">
        <v>50</v>
      </c>
      <c r="H38" s="2">
        <v>6324.11</v>
      </c>
      <c r="I38" s="2" t="s">
        <v>57</v>
      </c>
      <c r="J38" s="2">
        <v>3175</v>
      </c>
    </row>
    <row r="39" spans="1:10" ht="15" customHeight="1" x14ac:dyDescent="0.35">
      <c r="A39" s="3" t="s">
        <v>43</v>
      </c>
      <c r="B39" s="9"/>
      <c r="C39" s="9">
        <v>2487.6765241772973</v>
      </c>
      <c r="D39" s="9">
        <v>2545.7164478089503</v>
      </c>
      <c r="E39" s="9">
        <f>(D39-C39)/C39*100</f>
        <v>2.3330976944780808</v>
      </c>
      <c r="F39" s="9"/>
      <c r="G39" s="2" t="s">
        <v>59</v>
      </c>
      <c r="H39" s="2">
        <v>3223.21</v>
      </c>
      <c r="I39" s="2" t="s">
        <v>57</v>
      </c>
      <c r="J39" s="2">
        <v>2100</v>
      </c>
    </row>
    <row r="40" spans="1:10" ht="15" customHeight="1" x14ac:dyDescent="0.35">
      <c r="A40" s="3" t="s">
        <v>19</v>
      </c>
      <c r="B40" s="9"/>
      <c r="C40" s="9">
        <v>2671.7289628642798</v>
      </c>
      <c r="D40" s="9">
        <v>2517.8856093511167</v>
      </c>
      <c r="E40" s="9">
        <f>(D40-C40)/C40*100</f>
        <v>-5.7581946242118898</v>
      </c>
      <c r="F40" s="9"/>
      <c r="G40" s="2" t="s">
        <v>56</v>
      </c>
      <c r="H40" s="2">
        <v>3800</v>
      </c>
      <c r="I40" s="2" t="s">
        <v>57</v>
      </c>
      <c r="J40" s="2">
        <v>1610.02</v>
      </c>
    </row>
    <row r="41" spans="1:10" ht="15" customHeight="1" x14ac:dyDescent="0.35">
      <c r="A41" s="3" t="s">
        <v>21</v>
      </c>
      <c r="B41" s="9">
        <v>797.60928651013114</v>
      </c>
      <c r="C41" s="9">
        <v>1278.7595198008491</v>
      </c>
      <c r="D41" s="9">
        <v>1239.6096604979955</v>
      </c>
      <c r="E41" s="9">
        <f>(D41-C41)/C41*100</f>
        <v>-3.0615497829451748</v>
      </c>
      <c r="F41" s="9">
        <f>(D41-B41)/B41*100</f>
        <v>55.415650427265952</v>
      </c>
      <c r="G41" s="2" t="s">
        <v>52</v>
      </c>
      <c r="H41" s="2">
        <v>2000</v>
      </c>
      <c r="I41" s="2" t="s">
        <v>57</v>
      </c>
      <c r="J41" s="2">
        <v>858.67</v>
      </c>
    </row>
    <row r="42" spans="1:10" ht="15" customHeight="1" x14ac:dyDescent="0.35">
      <c r="A42" s="3" t="s">
        <v>30</v>
      </c>
      <c r="B42" s="9">
        <v>2828.8747467656322</v>
      </c>
      <c r="C42" s="9">
        <v>5459.0421429298249</v>
      </c>
      <c r="D42" s="9">
        <v>5489.2820246853234</v>
      </c>
      <c r="E42" s="9">
        <f>(D42-C42)/C42*100</f>
        <v>0.55394116703537788</v>
      </c>
      <c r="F42" s="9">
        <f>(D42-B42)/B42*100</f>
        <v>94.044717991188662</v>
      </c>
      <c r="G42" s="2" t="s">
        <v>65</v>
      </c>
      <c r="H42" s="2">
        <v>8323.75</v>
      </c>
      <c r="I42" s="2" t="s">
        <v>57</v>
      </c>
      <c r="J42" s="2">
        <v>4050</v>
      </c>
    </row>
    <row r="43" spans="1:10" ht="15" customHeight="1" x14ac:dyDescent="0.35">
      <c r="A43" s="3" t="s">
        <v>10</v>
      </c>
      <c r="B43" s="9">
        <v>3140.5331120351575</v>
      </c>
      <c r="C43" s="9">
        <v>5507.1099405631512</v>
      </c>
      <c r="D43" s="9">
        <v>5572.4934225805573</v>
      </c>
      <c r="E43" s="9">
        <f>(D43-C43)/C43*100</f>
        <v>1.1872557970164666</v>
      </c>
      <c r="F43" s="9">
        <f>(D43-B43)/B43*100</f>
        <v>77.437817841360641</v>
      </c>
      <c r="G43" s="2" t="s">
        <v>53</v>
      </c>
      <c r="H43" s="2">
        <v>8213.1</v>
      </c>
      <c r="I43" s="2" t="s">
        <v>71</v>
      </c>
      <c r="J43" s="2">
        <v>3615.22</v>
      </c>
    </row>
    <row r="44" spans="1:10" ht="15" customHeight="1" x14ac:dyDescent="0.35">
      <c r="A44" s="3"/>
      <c r="B44" s="9"/>
      <c r="C44" s="9"/>
    </row>
    <row r="45" spans="1:10" ht="15" customHeight="1" x14ac:dyDescent="0.35">
      <c r="A45" s="3"/>
      <c r="B45" s="9"/>
      <c r="C45" s="9"/>
    </row>
  </sheetData>
  <autoFilter ref="A1:J43" xr:uid="{EEF24949-5A6F-417D-AA50-4DF7240DF8A9}">
    <sortState xmlns:xlrd2="http://schemas.microsoft.com/office/spreadsheetml/2017/richdata2" ref="A2:J43">
      <sortCondition ref="I1:I43"/>
    </sortState>
  </autoFilter>
  <sortState xmlns:xlrd2="http://schemas.microsoft.com/office/spreadsheetml/2017/richdata2" ref="A2:J43">
    <sortCondition ref="A1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Food Dec 2024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Babalola</dc:creator>
  <cp:lastModifiedBy>ZUBAIRUL ISLAM</cp:lastModifiedBy>
  <dcterms:created xsi:type="dcterms:W3CDTF">2025-05-01T12:04:35Z</dcterms:created>
  <dcterms:modified xsi:type="dcterms:W3CDTF">2025-12-27T17:16:54Z</dcterms:modified>
</cp:coreProperties>
</file>